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2435" windowHeight="5715"/>
  </bookViews>
  <sheets>
    <sheet name="Plan1" sheetId="1" r:id="rId1"/>
    <sheet name="Plan2" sheetId="2" r:id="rId2"/>
  </sheets>
  <definedNames>
    <definedName name="Rendimento_carteira">Plan1!$C$4</definedName>
  </definedNames>
  <calcPr calcId="125725"/>
</workbook>
</file>

<file path=xl/calcChain.xml><?xml version="1.0" encoding="utf-8"?>
<calcChain xmlns="http://schemas.openxmlformats.org/spreadsheetml/2006/main">
  <c r="C26" i="1"/>
  <c r="D26" s="1"/>
  <c r="C27"/>
  <c r="C28"/>
  <c r="C29"/>
  <c r="C30"/>
  <c r="D30" s="1"/>
  <c r="C25"/>
  <c r="D25" s="1"/>
  <c r="L6" i="2"/>
  <c r="A3"/>
  <c r="A4"/>
  <c r="A5"/>
  <c r="A6"/>
  <c r="A7"/>
  <c r="A8"/>
  <c r="A9"/>
  <c r="A10"/>
  <c r="A11"/>
  <c r="A12"/>
  <c r="A13"/>
  <c r="A14"/>
  <c r="A15"/>
  <c r="A16"/>
  <c r="A17"/>
  <c r="A18"/>
  <c r="A19"/>
  <c r="A2"/>
  <c r="D27" i="1"/>
  <c r="D31"/>
  <c r="D28"/>
  <c r="D29"/>
  <c r="C22"/>
  <c r="D15"/>
  <c r="D16"/>
  <c r="D17"/>
  <c r="D18"/>
  <c r="D14"/>
  <c r="C18"/>
  <c r="C17"/>
  <c r="C16"/>
  <c r="C15"/>
  <c r="C14"/>
  <c r="C11"/>
  <c r="C5"/>
</calcChain>
</file>

<file path=xl/sharedStrings.xml><?xml version="1.0" encoding="utf-8"?>
<sst xmlns="http://schemas.openxmlformats.org/spreadsheetml/2006/main" count="70" uniqueCount="35">
  <si>
    <t>Rendimento da Carteira</t>
  </si>
  <si>
    <t>Salário</t>
  </si>
  <si>
    <t>Sugestão de Investimento (30%)</t>
  </si>
  <si>
    <t>Configurações</t>
  </si>
  <si>
    <t>Quanto Investir por mês?</t>
  </si>
  <si>
    <t>Investimento Mensal</t>
  </si>
  <si>
    <t>Taxa de Redimento Mensal</t>
  </si>
  <si>
    <t>Por quantos anos?</t>
  </si>
  <si>
    <t>Patriomonio  Acumulado</t>
  </si>
  <si>
    <t>Cenários</t>
  </si>
  <si>
    <t>Dividendos</t>
  </si>
  <si>
    <t xml:space="preserve">Em 2 anos </t>
  </si>
  <si>
    <t xml:space="preserve">Em 5 anos </t>
  </si>
  <si>
    <t>Em 10 anos</t>
  </si>
  <si>
    <t>Em 20 anos</t>
  </si>
  <si>
    <t>Em 30 anos</t>
  </si>
  <si>
    <t>Sugestão de Investimentos</t>
  </si>
  <si>
    <t>Perfil</t>
  </si>
  <si>
    <t>Conservador</t>
  </si>
  <si>
    <t>PAPEL</t>
  </si>
  <si>
    <t>TIJOLO</t>
  </si>
  <si>
    <t>HÍBRIDOS</t>
  </si>
  <si>
    <t>FOFs</t>
  </si>
  <si>
    <t>DESENVOLVIMENTO</t>
  </si>
  <si>
    <t>HOTELARIAS</t>
  </si>
  <si>
    <t>Valor Mensal a Investir</t>
  </si>
  <si>
    <t>Tipos de Fii´s</t>
  </si>
  <si>
    <t>Porcentagem</t>
  </si>
  <si>
    <t>Valores</t>
  </si>
  <si>
    <t>Total</t>
  </si>
  <si>
    <t>Chave</t>
  </si>
  <si>
    <t>Tipos de FII´s</t>
  </si>
  <si>
    <t>Moderado</t>
  </si>
  <si>
    <t>Agressivo</t>
  </si>
  <si>
    <t>Moderado-TIJOLO</t>
  </si>
</sst>
</file>

<file path=xl/styles.xml><?xml version="1.0" encoding="utf-8"?>
<styleSheet xmlns="http://schemas.openxmlformats.org/spreadsheetml/2006/main">
  <numFmts count="2">
    <numFmt numFmtId="8" formatCode="&quot;R$&quot;\ #,##0.00;[Red]\-&quot;R$&quot;\ #,##0.00"/>
    <numFmt numFmtId="165" formatCode="&quot;R$&quot;\ #,##0.00"/>
  </numFmts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2" fillId="3" borderId="2" xfId="2" applyBorder="1" applyAlignment="1">
      <alignment horizontal="center" vertical="center" wrapText="1"/>
    </xf>
    <xf numFmtId="0" fontId="0" fillId="0" borderId="2" xfId="0" applyBorder="1"/>
    <xf numFmtId="165" fontId="0" fillId="0" borderId="2" xfId="0" applyNumberFormat="1" applyBorder="1"/>
    <xf numFmtId="10" fontId="0" fillId="0" borderId="2" xfId="0" applyNumberFormat="1" applyBorder="1" applyAlignment="1">
      <alignment horizontal="right"/>
    </xf>
    <xf numFmtId="0" fontId="1" fillId="2" borderId="0" xfId="1" applyAlignment="1">
      <alignment horizontal="center"/>
    </xf>
    <xf numFmtId="0" fontId="1" fillId="2" borderId="2" xfId="1" applyBorder="1" applyAlignment="1">
      <alignment horizontal="center"/>
    </xf>
    <xf numFmtId="165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8" fontId="0" fillId="0" borderId="2" xfId="0" applyNumberFormat="1" applyBorder="1"/>
    <xf numFmtId="0" fontId="1" fillId="2" borderId="2" xfId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1" fillId="2" borderId="2" xfId="1" applyBorder="1" applyAlignment="1">
      <alignment horizontal="center"/>
    </xf>
    <xf numFmtId="9" fontId="1" fillId="2" borderId="2" xfId="1" applyNumberFormat="1" applyBorder="1" applyAlignment="1">
      <alignment horizontal="center"/>
    </xf>
    <xf numFmtId="0" fontId="1" fillId="2" borderId="2" xfId="1" applyBorder="1"/>
    <xf numFmtId="0" fontId="3" fillId="4" borderId="1" xfId="3"/>
    <xf numFmtId="10" fontId="3" fillId="4" borderId="1" xfId="3" applyNumberFormat="1" applyAlignment="1">
      <alignment horizontal="right"/>
    </xf>
    <xf numFmtId="8" fontId="3" fillId="4" borderId="1" xfId="3" applyNumberFormat="1"/>
    <xf numFmtId="165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9" fontId="0" fillId="5" borderId="0" xfId="0" applyNumberFormat="1" applyFill="1" applyAlignment="1">
      <alignment horizontal="center"/>
    </xf>
  </cellXfs>
  <cellStyles count="4">
    <cellStyle name="Bom" xfId="1" builtinId="26"/>
    <cellStyle name="Célula de Verificação" xfId="3" builtinId="23"/>
    <cellStyle name="Neutra" xfId="2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view3D>
      <c:rotX val="30"/>
      <c:perspective val="30"/>
    </c:view3D>
    <c:plotArea>
      <c:layout>
        <c:manualLayout>
          <c:layoutTarget val="inner"/>
          <c:xMode val="edge"/>
          <c:yMode val="edge"/>
          <c:x val="3.0555555555555555E-2"/>
          <c:y val="8.3333333333333329E-2"/>
          <c:w val="0.64434864391951008"/>
          <c:h val="0.89814814814814814"/>
        </c:manualLayout>
      </c:layout>
      <c:pie3DChart>
        <c:varyColors val="1"/>
        <c:ser>
          <c:idx val="0"/>
          <c:order val="0"/>
          <c:cat>
            <c:strRef>
              <c:f>Plan1!$B$25:$B$30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Plan1!$C$25:$C$30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32</xdr:row>
      <xdr:rowOff>38100</xdr:rowOff>
    </xdr:from>
    <xdr:to>
      <xdr:col>4</xdr:col>
      <xdr:colOff>19050</xdr:colOff>
      <xdr:row>46</xdr:row>
      <xdr:rowOff>114300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31"/>
  <sheetViews>
    <sheetView tabSelected="1" topLeftCell="A10" workbookViewId="0">
      <selection activeCell="H26" sqref="H26"/>
    </sheetView>
  </sheetViews>
  <sheetFormatPr defaultRowHeight="15"/>
  <cols>
    <col min="2" max="2" width="30.140625" bestFit="1" customWidth="1"/>
    <col min="3" max="3" width="31.28515625" bestFit="1" customWidth="1"/>
    <col min="4" max="4" width="11.7109375" bestFit="1" customWidth="1"/>
  </cols>
  <sheetData>
    <row r="2" spans="2:4">
      <c r="B2" s="2" t="s">
        <v>3</v>
      </c>
      <c r="C2" s="2"/>
      <c r="D2" s="1"/>
    </row>
    <row r="3" spans="2:4">
      <c r="B3" s="3" t="s">
        <v>1</v>
      </c>
      <c r="C3" s="4">
        <v>3000</v>
      </c>
    </row>
    <row r="4" spans="2:4">
      <c r="B4" s="3" t="s">
        <v>0</v>
      </c>
      <c r="C4" s="5">
        <v>6.0000000000000001E-3</v>
      </c>
    </row>
    <row r="5" spans="2:4">
      <c r="B5" s="3" t="s">
        <v>2</v>
      </c>
      <c r="C5" s="4">
        <f>C3*30%</f>
        <v>900</v>
      </c>
    </row>
    <row r="7" spans="2:4">
      <c r="B7" s="7" t="s">
        <v>5</v>
      </c>
      <c r="C7" s="7"/>
    </row>
    <row r="8" spans="2:4">
      <c r="B8" s="3" t="s">
        <v>4</v>
      </c>
      <c r="C8" s="8">
        <v>900</v>
      </c>
    </row>
    <row r="9" spans="2:4" ht="15.75" thickBot="1">
      <c r="B9" s="3" t="s">
        <v>7</v>
      </c>
      <c r="C9" s="9">
        <v>5</v>
      </c>
    </row>
    <row r="10" spans="2:4" ht="16.5" thickTop="1" thickBot="1">
      <c r="B10" s="20" t="s">
        <v>6</v>
      </c>
      <c r="C10" s="21">
        <v>0.01</v>
      </c>
    </row>
    <row r="11" spans="2:4" ht="16.5" thickTop="1" thickBot="1">
      <c r="B11" s="20" t="s">
        <v>8</v>
      </c>
      <c r="C11" s="22">
        <f>FV(C10,C9*12,C8*-1)</f>
        <v>73502.702870768218</v>
      </c>
    </row>
    <row r="12" spans="2:4" ht="15.75" thickTop="1"/>
    <row r="13" spans="2:4">
      <c r="B13" s="7" t="s">
        <v>9</v>
      </c>
      <c r="C13" s="7"/>
      <c r="D13" s="11" t="s">
        <v>10</v>
      </c>
    </row>
    <row r="14" spans="2:4">
      <c r="B14" s="3" t="s">
        <v>11</v>
      </c>
      <c r="C14" s="10">
        <f>FV($C$10,2*12,$C$8*-1)</f>
        <v>24276.118367872346</v>
      </c>
      <c r="D14" s="10">
        <f>C14*Rendimento_carteira</f>
        <v>145.65671020723408</v>
      </c>
    </row>
    <row r="15" spans="2:4">
      <c r="B15" s="3" t="s">
        <v>12</v>
      </c>
      <c r="C15" s="10">
        <f>FV($C$10,5*12,$C$8*-1)</f>
        <v>73502.702870768218</v>
      </c>
      <c r="D15" s="10">
        <f>C15*Rendimento_carteira</f>
        <v>441.01621722460931</v>
      </c>
    </row>
    <row r="16" spans="2:4">
      <c r="B16" s="3" t="s">
        <v>13</v>
      </c>
      <c r="C16" s="10">
        <f>FV($C$10,10*12,$C$8*-1)</f>
        <v>207034.8205116303</v>
      </c>
      <c r="D16" s="10">
        <f>C16*Rendimento_carteira</f>
        <v>1242.2089230697818</v>
      </c>
    </row>
    <row r="17" spans="2:4">
      <c r="B17" s="3" t="s">
        <v>14</v>
      </c>
      <c r="C17" s="10">
        <f>FV($C$10,20*12,$C$8*-1)</f>
        <v>890329.8288486267</v>
      </c>
      <c r="D17" s="10">
        <f>C17*Rendimento_carteira</f>
        <v>5341.9789730917601</v>
      </c>
    </row>
    <row r="18" spans="2:4">
      <c r="B18" s="3" t="s">
        <v>15</v>
      </c>
      <c r="C18" s="10">
        <f>FV($C$10,30*12,$C$8*-1)</f>
        <v>3145467.7194916555</v>
      </c>
      <c r="D18" s="10">
        <f>C18*Rendimento_carteira</f>
        <v>18872.806316949933</v>
      </c>
    </row>
    <row r="20" spans="2:4">
      <c r="B20" s="6" t="s">
        <v>16</v>
      </c>
      <c r="C20" s="6"/>
      <c r="D20" s="6"/>
    </row>
    <row r="21" spans="2:4">
      <c r="B21" t="s">
        <v>17</v>
      </c>
      <c r="C21" t="s">
        <v>18</v>
      </c>
    </row>
    <row r="22" spans="2:4">
      <c r="B22" t="s">
        <v>25</v>
      </c>
      <c r="C22" s="13">
        <f>C5</f>
        <v>900</v>
      </c>
    </row>
    <row r="23" spans="2:4">
      <c r="C23" s="13"/>
    </row>
    <row r="24" spans="2:4">
      <c r="B24" s="17" t="s">
        <v>26</v>
      </c>
      <c r="C24" s="18" t="s">
        <v>27</v>
      </c>
      <c r="D24" s="19" t="s">
        <v>28</v>
      </c>
    </row>
    <row r="25" spans="2:4">
      <c r="B25" s="15" t="s">
        <v>19</v>
      </c>
      <c r="C25" s="16">
        <f>VLOOKUP($C$21&amp;"-"&amp;B25,Plan2!A1:D19,4,FALSE)</f>
        <v>0.3</v>
      </c>
      <c r="D25" s="23">
        <f>C25*$C$22</f>
        <v>270</v>
      </c>
    </row>
    <row r="26" spans="2:4">
      <c r="B26" s="15" t="s">
        <v>20</v>
      </c>
      <c r="C26" s="16">
        <f>VLOOKUP($C$21&amp;"-"&amp;B26,Plan2!A2:D20,4,FALSE)</f>
        <v>0.5</v>
      </c>
      <c r="D26" s="23">
        <f t="shared" ref="D26:D30" si="0">C26*$C$22</f>
        <v>450</v>
      </c>
    </row>
    <row r="27" spans="2:4">
      <c r="B27" s="15" t="s">
        <v>21</v>
      </c>
      <c r="C27" s="16">
        <f>VLOOKUP($C$21&amp;"-"&amp;B27,Plan2!A3:D21,4,FALSE)</f>
        <v>0.1</v>
      </c>
      <c r="D27" s="23">
        <f t="shared" si="0"/>
        <v>90</v>
      </c>
    </row>
    <row r="28" spans="2:4">
      <c r="B28" s="15" t="s">
        <v>22</v>
      </c>
      <c r="C28" s="16">
        <f>VLOOKUP($C$21&amp;"-"&amp;B28,Plan2!A4:D22,4,FALSE)</f>
        <v>0.1</v>
      </c>
      <c r="D28" s="23">
        <f t="shared" si="0"/>
        <v>90</v>
      </c>
    </row>
    <row r="29" spans="2:4">
      <c r="B29" s="15" t="s">
        <v>23</v>
      </c>
      <c r="C29" s="16">
        <f>VLOOKUP($C$21&amp;"-"&amp;B29,Plan2!A5:D23,4,FALSE)</f>
        <v>0</v>
      </c>
      <c r="D29" s="23">
        <f t="shared" si="0"/>
        <v>0</v>
      </c>
    </row>
    <row r="30" spans="2:4">
      <c r="B30" s="15" t="s">
        <v>24</v>
      </c>
      <c r="C30" s="16">
        <f>VLOOKUP($C$21&amp;"-"&amp;B30,Plan2!A6:D24,4,FALSE)</f>
        <v>0</v>
      </c>
      <c r="D30" s="23">
        <f t="shared" si="0"/>
        <v>0</v>
      </c>
    </row>
    <row r="31" spans="2:4">
      <c r="B31" s="24" t="s">
        <v>29</v>
      </c>
      <c r="C31" s="16"/>
      <c r="D31" s="23">
        <f>$C$22</f>
        <v>900</v>
      </c>
    </row>
  </sheetData>
  <mergeCells count="4">
    <mergeCell ref="B2:C2"/>
    <mergeCell ref="B7:C7"/>
    <mergeCell ref="B13:C13"/>
    <mergeCell ref="B20:D20"/>
  </mergeCells>
  <dataValidations count="1">
    <dataValidation type="list" allowBlank="1" showInputMessage="1" showErrorMessage="1" sqref="C21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selection activeCell="L7" sqref="L7"/>
    </sheetView>
  </sheetViews>
  <sheetFormatPr defaultRowHeight="15"/>
  <cols>
    <col min="1" max="1" width="31.28515625" bestFit="1" customWidth="1"/>
    <col min="2" max="2" width="12.140625" bestFit="1" customWidth="1"/>
    <col min="3" max="3" width="19" bestFit="1" customWidth="1"/>
    <col min="4" max="4" width="5.5703125" bestFit="1" customWidth="1"/>
    <col min="12" max="12" width="8.7109375" bestFit="1" customWidth="1"/>
  </cols>
  <sheetData>
    <row r="1" spans="1:12">
      <c r="A1" t="s">
        <v>30</v>
      </c>
      <c r="B1" t="s">
        <v>17</v>
      </c>
      <c r="C1" t="s">
        <v>31</v>
      </c>
    </row>
    <row r="2" spans="1:12">
      <c r="A2" t="str">
        <f>B2&amp;"-"&amp;C2</f>
        <v>Conservador-PAPEL</v>
      </c>
      <c r="B2" t="s">
        <v>18</v>
      </c>
      <c r="C2" s="15" t="s">
        <v>19</v>
      </c>
      <c r="D2" s="16">
        <v>0.3</v>
      </c>
    </row>
    <row r="3" spans="1:12">
      <c r="A3" t="str">
        <f t="shared" ref="A3:A19" si="0">B3&amp;"-"&amp;C3</f>
        <v>Conservador-TIJOLO</v>
      </c>
      <c r="B3" t="s">
        <v>18</v>
      </c>
      <c r="C3" s="15" t="s">
        <v>20</v>
      </c>
      <c r="D3" s="16">
        <v>0.5</v>
      </c>
    </row>
    <row r="4" spans="1:12">
      <c r="A4" t="str">
        <f t="shared" si="0"/>
        <v>Conservador-HÍBRIDOS</v>
      </c>
      <c r="B4" t="s">
        <v>18</v>
      </c>
      <c r="C4" s="15" t="s">
        <v>21</v>
      </c>
      <c r="D4" s="16">
        <v>0.1</v>
      </c>
    </row>
    <row r="5" spans="1:12">
      <c r="A5" t="str">
        <f t="shared" si="0"/>
        <v>Conservador-FOFs</v>
      </c>
      <c r="B5" t="s">
        <v>18</v>
      </c>
      <c r="C5" s="15" t="s">
        <v>22</v>
      </c>
      <c r="D5" s="16">
        <v>0.1</v>
      </c>
    </row>
    <row r="6" spans="1:12">
      <c r="A6" t="str">
        <f t="shared" si="0"/>
        <v>Conservador-DESENVOLVIMENTO</v>
      </c>
      <c r="B6" t="s">
        <v>18</v>
      </c>
      <c r="C6" s="15" t="s">
        <v>23</v>
      </c>
      <c r="D6" s="16">
        <v>0</v>
      </c>
      <c r="J6" t="s">
        <v>34</v>
      </c>
      <c r="L6">
        <f>VLOOKUP(J6,$A$1:$D$19,4,FALSE)</f>
        <v>0.35</v>
      </c>
    </row>
    <row r="7" spans="1:12">
      <c r="A7" t="str">
        <f t="shared" si="0"/>
        <v>Conservador-HOTELARIAS</v>
      </c>
      <c r="B7" t="s">
        <v>18</v>
      </c>
      <c r="C7" s="15" t="s">
        <v>24</v>
      </c>
      <c r="D7" s="16">
        <v>0</v>
      </c>
    </row>
    <row r="8" spans="1:12">
      <c r="A8" t="str">
        <f t="shared" si="0"/>
        <v>Moderado-PAPEL</v>
      </c>
      <c r="B8" t="s">
        <v>32</v>
      </c>
      <c r="C8" s="15" t="s">
        <v>19</v>
      </c>
      <c r="D8" s="12">
        <v>0.32</v>
      </c>
    </row>
    <row r="9" spans="1:12">
      <c r="A9" t="str">
        <f t="shared" si="0"/>
        <v>Moderado-TIJOLO</v>
      </c>
      <c r="B9" t="s">
        <v>32</v>
      </c>
      <c r="C9" s="15" t="s">
        <v>20</v>
      </c>
      <c r="D9" s="25">
        <v>0.35</v>
      </c>
    </row>
    <row r="10" spans="1:12">
      <c r="A10" t="str">
        <f t="shared" si="0"/>
        <v>Moderado-HÍBRIDOS</v>
      </c>
      <c r="B10" t="s">
        <v>32</v>
      </c>
      <c r="C10" s="15" t="s">
        <v>21</v>
      </c>
      <c r="D10" s="12">
        <v>0.08</v>
      </c>
    </row>
    <row r="11" spans="1:12">
      <c r="A11" t="str">
        <f t="shared" si="0"/>
        <v>Moderado-FOFs</v>
      </c>
      <c r="B11" t="s">
        <v>32</v>
      </c>
      <c r="C11" s="15" t="s">
        <v>22</v>
      </c>
      <c r="D11" s="12">
        <v>0.05</v>
      </c>
    </row>
    <row r="12" spans="1:12">
      <c r="A12" t="str">
        <f t="shared" si="0"/>
        <v>Moderado-DESENVOLVIMENTO</v>
      </c>
      <c r="B12" t="s">
        <v>32</v>
      </c>
      <c r="C12" s="15" t="s">
        <v>23</v>
      </c>
      <c r="D12" s="12">
        <v>0.1</v>
      </c>
    </row>
    <row r="13" spans="1:12" ht="15.75" thickBot="1">
      <c r="A13" t="str">
        <f t="shared" si="0"/>
        <v>Moderado-HOTELARIAS</v>
      </c>
      <c r="B13" t="s">
        <v>32</v>
      </c>
      <c r="C13" s="15" t="s">
        <v>24</v>
      </c>
      <c r="D13" s="14">
        <v>0.1</v>
      </c>
    </row>
    <row r="14" spans="1:12" ht="13.5" customHeight="1">
      <c r="A14" t="str">
        <f t="shared" si="0"/>
        <v>Agressivo-PAPEL</v>
      </c>
      <c r="B14" t="s">
        <v>33</v>
      </c>
      <c r="C14" s="15" t="s">
        <v>19</v>
      </c>
      <c r="D14" s="12">
        <v>0.5</v>
      </c>
    </row>
    <row r="15" spans="1:12">
      <c r="A15" t="str">
        <f t="shared" si="0"/>
        <v>Agressivo-TIJOLO</v>
      </c>
      <c r="B15" t="s">
        <v>33</v>
      </c>
      <c r="C15" s="15" t="s">
        <v>20</v>
      </c>
      <c r="D15" s="12">
        <v>0.1</v>
      </c>
    </row>
    <row r="16" spans="1:12">
      <c r="A16" t="str">
        <f t="shared" si="0"/>
        <v>Agressivo-HÍBRIDOS</v>
      </c>
      <c r="B16" t="s">
        <v>33</v>
      </c>
      <c r="C16" s="15" t="s">
        <v>21</v>
      </c>
      <c r="D16" s="12">
        <v>0.05</v>
      </c>
    </row>
    <row r="17" spans="1:4">
      <c r="A17" t="str">
        <f t="shared" si="0"/>
        <v>Agressivo-FOFs</v>
      </c>
      <c r="B17" t="s">
        <v>33</v>
      </c>
      <c r="C17" s="15" t="s">
        <v>22</v>
      </c>
      <c r="D17" s="12">
        <v>0.05</v>
      </c>
    </row>
    <row r="18" spans="1:4">
      <c r="A18" t="str">
        <f t="shared" si="0"/>
        <v>Agressivo-DESENVOLVIMENTO</v>
      </c>
      <c r="B18" t="s">
        <v>33</v>
      </c>
      <c r="C18" s="15" t="s">
        <v>23</v>
      </c>
      <c r="D18" s="12">
        <v>0.2</v>
      </c>
    </row>
    <row r="19" spans="1:4">
      <c r="A19" t="str">
        <f t="shared" si="0"/>
        <v>Agressivo-HOTELARIAS</v>
      </c>
      <c r="B19" t="s">
        <v>33</v>
      </c>
      <c r="C19" s="15" t="s">
        <v>24</v>
      </c>
      <c r="D19" s="1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Rendimento_carteira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duarte dos santos</dc:creator>
  <cp:lastModifiedBy>mauricio duarte dos santos</cp:lastModifiedBy>
  <dcterms:created xsi:type="dcterms:W3CDTF">2026-10-17T13:17:46Z</dcterms:created>
  <dcterms:modified xsi:type="dcterms:W3CDTF">2026-10-17T14:39:23Z</dcterms:modified>
</cp:coreProperties>
</file>